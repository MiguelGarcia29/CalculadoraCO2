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Universidad\3\PINF\CalculadoraCO2\ponderaciones\"/>
    </mc:Choice>
  </mc:AlternateContent>
  <xr:revisionPtr revIDLastSave="0" documentId="13_ncr:1_{3A8C456D-A654-4B03-B224-FBC6D65CC6B7}" xr6:coauthVersionLast="47" xr6:coauthVersionMax="47" xr10:uidLastSave="{00000000-0000-0000-0000-000000000000}"/>
  <bookViews>
    <workbookView xWindow="-28920" yWindow="2220" windowWidth="29040" windowHeight="15720" xr2:uid="{1F3419FC-22DA-443A-A229-AEE1317CE4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4" i="1"/>
  <c r="C20" i="1"/>
  <c r="C19" i="1"/>
  <c r="C18" i="1"/>
</calcChain>
</file>

<file path=xl/sharedStrings.xml><?xml version="1.0" encoding="utf-8"?>
<sst xmlns="http://schemas.openxmlformats.org/spreadsheetml/2006/main" count="53" uniqueCount="50">
  <si>
    <t>Objeto</t>
  </si>
  <si>
    <t>Carton</t>
  </si>
  <si>
    <t>CONSUMIDO</t>
  </si>
  <si>
    <t>Bus</t>
  </si>
  <si>
    <t>Moto</t>
  </si>
  <si>
    <t>Electricidad</t>
  </si>
  <si>
    <t>Coche</t>
  </si>
  <si>
    <t>Botella Vidrio</t>
  </si>
  <si>
    <t>Botella Plastico</t>
  </si>
  <si>
    <t>kg CO2 por ud</t>
  </si>
  <si>
    <t>kg CO2 por km</t>
  </si>
  <si>
    <t>kg CO2 por horas</t>
  </si>
  <si>
    <t>EVITADO</t>
  </si>
  <si>
    <t>UN KG DE CO2 CORRESPONDE A 270 LITROS DE AGUA</t>
  </si>
  <si>
    <t>UNA DUCHA TIENE 100L DE AGUA</t>
  </si>
  <si>
    <t>UNA CAMISETA DE ALGODÓN LLEVA 2700 LITROS DE AGUA</t>
  </si>
  <si>
    <t>UN ARBOL CONSUME 0,06 KG DE CO2</t>
  </si>
  <si>
    <t>UN  VIAJE EN COCHE CONSUME 12,8 KG DE CO2</t>
  </si>
  <si>
    <t>SECCION CONSUMIDO</t>
  </si>
  <si>
    <t>SECCION EVITADO</t>
  </si>
  <si>
    <t>EL BALANCE ES = EVITADO - CONSUMIDO</t>
  </si>
  <si>
    <t>Carne Vacuno</t>
  </si>
  <si>
    <t>Carne Cerdo</t>
  </si>
  <si>
    <t>Pollo</t>
  </si>
  <si>
    <t>Vegetales/Legumbres</t>
  </si>
  <si>
    <t>Frutas</t>
  </si>
  <si>
    <t>(Media de carne)</t>
  </si>
  <si>
    <t xml:space="preserve">Móvil </t>
  </si>
  <si>
    <t>Portátil</t>
  </si>
  <si>
    <t>Ordenador torre</t>
  </si>
  <si>
    <t>Calefacción</t>
  </si>
  <si>
    <t>Electrica</t>
  </si>
  <si>
    <t>Gas Natural</t>
  </si>
  <si>
    <t>27,0 ~ 60,0</t>
  </si>
  <si>
    <t xml:space="preserve"> kg  CO2 por kg</t>
  </si>
  <si>
    <t xml:space="preserve">7,0 ~ 12,0 </t>
  </si>
  <si>
    <t xml:space="preserve">6,0 ~7,0 </t>
  </si>
  <si>
    <t xml:space="preserve">0,001 ~ 0,005 </t>
  </si>
  <si>
    <t>kg CO2 por h</t>
  </si>
  <si>
    <t>0,020 ~ 0,050</t>
  </si>
  <si>
    <t xml:space="preserve">0,060 ~ 0,150 </t>
  </si>
  <si>
    <t xml:space="preserve">0,250 ~ 0,4 </t>
  </si>
  <si>
    <t xml:space="preserve">0,18 ~ 0,22 </t>
  </si>
  <si>
    <t>0,2 ~ 1,0</t>
  </si>
  <si>
    <t xml:space="preserve"> kg  CO2 por ud</t>
  </si>
  <si>
    <t>Racion de Verduras</t>
  </si>
  <si>
    <t>Pieza de Fruta</t>
  </si>
  <si>
    <t>Filete de Ternera</t>
  </si>
  <si>
    <t>Chuleta de Cerdo</t>
  </si>
  <si>
    <t>Pechuga de Pollo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</si>
</sst>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A8C2-ED66-4C83-B2B8-3889973DEE81}">
  <dimension ref="A1:E30"/>
  <sheetViews>
    <sheetView tabSelected="1" zoomScale="115" zoomScaleNormal="115" workbookViewId="0">
      <selection activeCell="B16" sqref="B16"/>
    </sheetView>
  </sheetViews>
  <sheetFormatPr baseColWidth="10" defaultRowHeight="14.5" x14ac:dyDescent="0.35"/>
  <cols>
    <col min="1" max="1" width="13.453125" bestFit="1" customWidth="1"/>
    <col min="2" max="2" width="14.54296875" bestFit="1" customWidth="1"/>
    <col min="3" max="3" width="17.81640625" customWidth="1"/>
    <col min="4" max="4" width="16.6328125" bestFit="1" customWidth="1"/>
    <col min="5" max="5" width="48.81640625" bestFit="1" customWidth="1"/>
  </cols>
  <sheetData>
    <row r="1" spans="1:5" x14ac:dyDescent="0.35">
      <c r="A1" s="1" t="s">
        <v>0</v>
      </c>
      <c r="B1" s="2" t="s">
        <v>2</v>
      </c>
      <c r="C1" s="3" t="s">
        <v>12</v>
      </c>
      <c r="E1" s="2" t="s">
        <v>18</v>
      </c>
    </row>
    <row r="2" spans="1:5" x14ac:dyDescent="0.35">
      <c r="B2" t="s">
        <v>9</v>
      </c>
      <c r="C2" t="s">
        <v>9</v>
      </c>
      <c r="E2" t="s">
        <v>13</v>
      </c>
    </row>
    <row r="3" spans="1:5" x14ac:dyDescent="0.35">
      <c r="A3" t="s">
        <v>7</v>
      </c>
      <c r="B3">
        <v>0.25</v>
      </c>
      <c r="C3">
        <v>0.25</v>
      </c>
      <c r="E3" t="s">
        <v>14</v>
      </c>
    </row>
    <row r="4" spans="1:5" x14ac:dyDescent="0.35">
      <c r="A4" t="s">
        <v>8</v>
      </c>
      <c r="B4">
        <v>0.04</v>
      </c>
      <c r="C4">
        <v>7.0000000000000007E-2</v>
      </c>
      <c r="E4" t="s">
        <v>15</v>
      </c>
    </row>
    <row r="5" spans="1:5" x14ac:dyDescent="0.35">
      <c r="A5" t="s">
        <v>1</v>
      </c>
      <c r="B5">
        <v>0.18</v>
      </c>
      <c r="C5">
        <v>0.11</v>
      </c>
    </row>
    <row r="6" spans="1:5" x14ac:dyDescent="0.35">
      <c r="B6" t="s">
        <v>10</v>
      </c>
      <c r="E6" s="3" t="s">
        <v>19</v>
      </c>
    </row>
    <row r="7" spans="1:5" x14ac:dyDescent="0.35">
      <c r="A7" t="s">
        <v>6</v>
      </c>
      <c r="B7">
        <v>0.15</v>
      </c>
      <c r="E7" t="s">
        <v>16</v>
      </c>
    </row>
    <row r="8" spans="1:5" x14ac:dyDescent="0.35">
      <c r="A8" t="s">
        <v>3</v>
      </c>
      <c r="B8">
        <v>0.9</v>
      </c>
      <c r="E8" t="s">
        <v>17</v>
      </c>
    </row>
    <row r="9" spans="1:5" x14ac:dyDescent="0.35">
      <c r="A9" t="s">
        <v>4</v>
      </c>
      <c r="B9">
        <v>0.09</v>
      </c>
    </row>
    <row r="10" spans="1:5" x14ac:dyDescent="0.35">
      <c r="B10" t="s">
        <v>11</v>
      </c>
    </row>
    <row r="11" spans="1:5" x14ac:dyDescent="0.35">
      <c r="A11" t="s">
        <v>5</v>
      </c>
      <c r="B11">
        <v>2.9999999999999997E-4</v>
      </c>
    </row>
    <row r="12" spans="1:5" x14ac:dyDescent="0.35">
      <c r="E12" s="1" t="s">
        <v>20</v>
      </c>
    </row>
    <row r="13" spans="1:5" x14ac:dyDescent="0.35">
      <c r="A13" t="s">
        <v>30</v>
      </c>
      <c r="B13" t="s">
        <v>38</v>
      </c>
    </row>
    <row r="14" spans="1:5" x14ac:dyDescent="0.35">
      <c r="A14" t="s">
        <v>31</v>
      </c>
      <c r="B14" t="s">
        <v>41</v>
      </c>
    </row>
    <row r="15" spans="1:5" x14ac:dyDescent="0.35">
      <c r="A15" t="s">
        <v>32</v>
      </c>
      <c r="B15" t="s">
        <v>42</v>
      </c>
    </row>
    <row r="17" spans="1:4" x14ac:dyDescent="0.35">
      <c r="B17" t="s">
        <v>34</v>
      </c>
      <c r="C17" t="s">
        <v>44</v>
      </c>
    </row>
    <row r="18" spans="1:4" x14ac:dyDescent="0.35">
      <c r="A18" t="s">
        <v>21</v>
      </c>
      <c r="B18" t="s">
        <v>33</v>
      </c>
      <c r="C18">
        <f>0.18*40</f>
        <v>7.1999999999999993</v>
      </c>
      <c r="D18" t="s">
        <v>47</v>
      </c>
    </row>
    <row r="19" spans="1:4" x14ac:dyDescent="0.35">
      <c r="A19" t="s">
        <v>22</v>
      </c>
      <c r="B19" t="s">
        <v>35</v>
      </c>
      <c r="C19">
        <f>0.18*9</f>
        <v>1.6199999999999999</v>
      </c>
      <c r="D19" t="s">
        <v>48</v>
      </c>
    </row>
    <row r="20" spans="1:4" x14ac:dyDescent="0.35">
      <c r="A20" t="s">
        <v>23</v>
      </c>
      <c r="B20" t="s">
        <v>36</v>
      </c>
      <c r="C20">
        <f>0.12*6</f>
        <v>0.72</v>
      </c>
      <c r="D20" t="s">
        <v>49</v>
      </c>
    </row>
    <row r="21" spans="1:4" x14ac:dyDescent="0.35">
      <c r="A21" t="s">
        <v>26</v>
      </c>
      <c r="B21">
        <v>15</v>
      </c>
    </row>
    <row r="23" spans="1:4" x14ac:dyDescent="0.35">
      <c r="B23" t="s">
        <v>34</v>
      </c>
      <c r="C23" s="4"/>
    </row>
    <row r="24" spans="1:4" x14ac:dyDescent="0.35">
      <c r="A24" t="s">
        <v>24</v>
      </c>
      <c r="B24" t="s">
        <v>43</v>
      </c>
      <c r="C24">
        <f>0.18*0.5</f>
        <v>0.09</v>
      </c>
      <c r="D24" t="s">
        <v>45</v>
      </c>
    </row>
    <row r="25" spans="1:4" x14ac:dyDescent="0.35">
      <c r="A25" t="s">
        <v>25</v>
      </c>
      <c r="B25">
        <v>0.4</v>
      </c>
      <c r="C25">
        <f>0.12*0.4</f>
        <v>4.8000000000000001E-2</v>
      </c>
      <c r="D25" t="s">
        <v>46</v>
      </c>
    </row>
    <row r="27" spans="1:4" x14ac:dyDescent="0.35">
      <c r="B27" t="s">
        <v>38</v>
      </c>
    </row>
    <row r="28" spans="1:4" x14ac:dyDescent="0.35">
      <c r="A28" t="s">
        <v>27</v>
      </c>
      <c r="B28" t="s">
        <v>37</v>
      </c>
    </row>
    <row r="29" spans="1:4" x14ac:dyDescent="0.35">
      <c r="A29" t="s">
        <v>28</v>
      </c>
      <c r="B29" t="s">
        <v>39</v>
      </c>
    </row>
    <row r="30" spans="1:4" x14ac:dyDescent="0.35">
      <c r="A30" t="s">
        <v>29</v>
      </c>
      <c r="B30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Miguel García Bernal</dc:creator>
  <cp:lastModifiedBy>Jesús Miguel García Bernal</cp:lastModifiedBy>
  <dcterms:created xsi:type="dcterms:W3CDTF">2025-12-03T16:36:28Z</dcterms:created>
  <dcterms:modified xsi:type="dcterms:W3CDTF">2026-01-03T14:07:13Z</dcterms:modified>
</cp:coreProperties>
</file>